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dwa\Downloads\"/>
    </mc:Choice>
  </mc:AlternateContent>
  <xr:revisionPtr revIDLastSave="0" documentId="13_ncr:1_{D98A8CEB-8401-45C7-85CB-46AFE102C9E8}" xr6:coauthVersionLast="47" xr6:coauthVersionMax="47" xr10:uidLastSave="{00000000-0000-0000-0000-000000000000}"/>
  <bookViews>
    <workbookView xWindow="-20610" yWindow="-120" windowWidth="20730" windowHeight="11040" tabRatio="869" firstSheet="1" activeTab="1" xr2:uid="{00000000-000D-0000-FFFF-FFFF00000000}"/>
  </bookViews>
  <sheets>
    <sheet name="Instruction" sheetId="1" state="hidden" r:id="rId1"/>
    <sheet name="Data Entry" sheetId="22" r:id="rId2"/>
    <sheet name="Table" sheetId="23" r:id="rId3"/>
    <sheet name="Invoice Template" sheetId="24" r:id="rId4"/>
  </sheets>
  <definedNames>
    <definedName name="Customer_Name">Table!$C$2:$C$8</definedName>
    <definedName name="Date">Table!$B$2:$B$8</definedName>
    <definedName name="Discount">Table!$G$2:$G$8</definedName>
    <definedName name="Fee_per_hour">Table!$E$2:$E$8</definedName>
    <definedName name="Hours_of_Service_Provided">Table!$D$2:$D$8</definedName>
    <definedName name="Invoice_Number">Table!$A$2:$A$8</definedName>
    <definedName name="Total">Table!$F$2:$F$8</definedName>
    <definedName name="Total_Amount_Due">Table!$H$2:$H$8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4" l="1"/>
  <c r="C16" i="24"/>
  <c r="C15" i="24"/>
  <c r="C7" i="24"/>
  <c r="C14" i="24" s="1"/>
  <c r="B7" i="24"/>
  <c r="A7" i="24"/>
  <c r="B2" i="24"/>
  <c r="F8" i="23"/>
  <c r="G8" i="23"/>
  <c r="F7" i="23"/>
  <c r="G7" i="23" s="1"/>
  <c r="F6" i="23"/>
  <c r="G6" i="23" s="1"/>
  <c r="H6" i="23" s="1"/>
  <c r="A5" i="23"/>
  <c r="A6" i="23" s="1"/>
  <c r="A7" i="23" s="1"/>
  <c r="A8" i="23" s="1"/>
  <c r="F5" i="23"/>
  <c r="G5" i="23" s="1"/>
  <c r="A4" i="23"/>
  <c r="F4" i="23"/>
  <c r="G4" i="23" s="1"/>
  <c r="H4" i="23" s="1"/>
  <c r="G3" i="23"/>
  <c r="F2" i="23"/>
  <c r="G2" i="23" s="1"/>
  <c r="H2" i="23" s="1"/>
  <c r="F3" i="23"/>
  <c r="B1" i="1"/>
  <c r="J2" i="23" l="1"/>
  <c r="H8" i="23"/>
  <c r="H7" i="23"/>
  <c r="H5" i="23"/>
  <c r="H3" i="23"/>
</calcChain>
</file>

<file path=xl/sharedStrings.xml><?xml version="1.0" encoding="utf-8"?>
<sst xmlns="http://schemas.openxmlformats.org/spreadsheetml/2006/main" count="41" uniqueCount="35">
  <si>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</si>
  <si>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</si>
  <si>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</si>
  <si>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</si>
  <si>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</si>
  <si>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</si>
  <si>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</si>
  <si>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</si>
  <si>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</si>
  <si>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</si>
  <si>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</si>
  <si>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</si>
  <si>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</si>
  <si>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</si>
  <si>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</si>
  <si>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</si>
  <si>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</si>
  <si>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</si>
  <si>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</si>
  <si>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</si>
  <si>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</si>
  <si>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</si>
  <si>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</si>
  <si>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</si>
  <si>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</si>
  <si>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</si>
  <si>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</si>
  <si>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</si>
  <si>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</si>
  <si>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</si>
  <si>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</si>
  <si>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</si>
  <si>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</si>
  <si>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Less 5% Discount (For more than 10 hours service)</t>
  </si>
  <si>
    <t>Rod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</si>
</sst>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41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5" xfId="0" applyBorder="1"/>
    <xf numFmtId="0" fontId="0" fillId="0" borderId="3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0" fontId="11" fillId="5" borderId="8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5" xfId="0" applyFont="1" applyFill="1" applyBorder="1"/>
    <xf numFmtId="0" fontId="13" fillId="5" borderId="7" xfId="0" applyFont="1" applyFill="1" applyBorder="1"/>
    <xf numFmtId="0" fontId="13" fillId="0" borderId="5" xfId="0" applyFont="1" applyFill="1" applyBorder="1"/>
    <xf numFmtId="0" fontId="13" fillId="4" borderId="5" xfId="0" applyFont="1" applyFill="1" applyBorder="1"/>
    <xf numFmtId="0" fontId="15" fillId="0" borderId="8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164" fontId="15" fillId="0" borderId="2" xfId="1" applyFont="1" applyBorder="1"/>
    <xf numFmtId="164" fontId="15" fillId="0" borderId="6" xfId="1" applyFont="1" applyBorder="1"/>
    <xf numFmtId="164" fontId="15" fillId="0" borderId="7" xfId="1" applyFont="1" applyBorder="1"/>
    <xf numFmtId="14" fontId="0" fillId="0" borderId="0" xfId="0" applyNumberFormat="1"/>
    <xf numFmtId="164" fontId="0" fillId="0" borderId="5" xfId="1" applyFont="1" applyBorder="1"/>
    <xf numFmtId="164" fontId="16" fillId="0" borderId="1" xfId="1" applyFont="1" applyBorder="1"/>
    <xf numFmtId="164" fontId="15" fillId="0" borderId="2" xfId="1" applyNumberFormat="1" applyFont="1" applyBorder="1"/>
    <xf numFmtId="164" fontId="15" fillId="0" borderId="6" xfId="1" applyNumberFormat="1" applyFont="1" applyBorder="1"/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</cellXfs>
  <cellStyles count="7"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10</xdr:row>
      <xdr:rowOff>28575</xdr:rowOff>
    </xdr:from>
    <xdr:to>
      <xdr:col>2</xdr:col>
      <xdr:colOff>1123950</xdr:colOff>
      <xdr:row>12</xdr:row>
      <xdr:rowOff>171450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F026AB-BC4C-4E10-A045-FE4CBBE99EFF}"/>
            </a:ext>
          </a:extLst>
        </xdr:cNvPr>
        <xdr:cNvSpPr/>
      </xdr:nvSpPr>
      <xdr:spPr>
        <a:xfrm>
          <a:off x="647700" y="2581275"/>
          <a:ext cx="3390900" cy="523875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Post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7F39D6-C47D-4D0F-8FE6-B74BC51F817B}" name="Table1" displayName="Table1" ref="A1:H8" totalsRowShown="0" headerRowDxfId="9" dataDxfId="8" dataCellStyle="Currency">
  <autoFilter ref="A1:H8" xr:uid="{D57F39D6-C47D-4D0F-8FE6-B74BC51F817B}"/>
  <tableColumns count="8">
    <tableColumn id="1" xr3:uid="{AB71DD58-430A-4FEF-B367-EC1F1E48EADD}" name="Invoice Number" dataDxfId="7"/>
    <tableColumn id="2" xr3:uid="{AFF4E9E8-F1C3-4D74-A6BE-BBF19DC623FB}" name="Date" dataDxfId="6"/>
    <tableColumn id="3" xr3:uid="{FE2B2D86-D177-49FC-B250-664BE4E48106}" name="Customer Name" dataDxfId="5"/>
    <tableColumn id="4" xr3:uid="{3E3908E8-3444-4E49-B50A-DD4985C3A046}" name="Hours of Service Provided" dataDxfId="4"/>
    <tableColumn id="5" xr3:uid="{58C82F0B-4CC7-4B05-BBB6-85A684928E84}" name="Fee per hour" dataDxfId="3" dataCellStyle="Currency"/>
    <tableColumn id="6" xr3:uid="{10471FD0-C400-48B0-8125-62C398DFD143}" name="Total" dataDxfId="2" dataCellStyle="Currency">
      <calculatedColumnFormula>Table1[[#This Row],[Hours of Service Provided]]*Table1[[#This Row],[Fee per hour]]</calculatedColumnFormula>
    </tableColumn>
    <tableColumn id="7" xr3:uid="{D152711C-850D-41CA-95C3-B7D929B33B40}" name="Discount" dataDxfId="1" dataCellStyle="Currency">
      <calculatedColumnFormula>IF(Table1[[#This Row],[Hours of Service Provided]]&gt;10,Table1[[#This Row],[Total]]*0.05,0)</calculatedColumnFormula>
    </tableColumn>
    <tableColumn id="8" xr3:uid="{CEB7A973-02DE-404E-B53D-D0F0AEB24AAC}" name="Total Amount Due" dataDxfId="0" dataCellStyle="Currency">
      <calculatedColumnFormula>Table1[[#This Row],[Total]]-Table1[[#This Row],[Discount]]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40625" defaultRowHeight="15"/>
  <cols>
    <col min="1" max="1" width="29.5703125" style="2" bestFit="1" customWidth="1"/>
    <col min="2" max="2" width="23.140625" style="2" bestFit="1" customWidth="1"/>
    <col min="3" max="6" width="9.140625" style="2"/>
    <col min="7" max="7" width="10.85546875" style="2" customWidth="1"/>
    <col min="8" max="8" width="10.5703125" style="2" customWidth="1"/>
    <col min="9" max="16384" width="9.140625" style="2"/>
  </cols>
  <sheetData>
    <row r="1" spans="1:8" ht="46.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tabSelected="1" zoomScaleNormal="100" workbookViewId="0">
      <selection activeCell="C5" sqref="C5"/>
    </sheetView>
  </sheetViews>
  <sheetFormatPr defaultRowHeight="15"/>
  <cols>
    <col min="2" max="2" width="34.5703125" bestFit="1" customWidth="1"/>
    <col min="3" max="3" width="17.7109375" customWidth="1"/>
  </cols>
  <sheetData>
    <row r="2" spans="2:3" ht="36">
      <c r="B2" s="38" t="s">
        <v>32</v>
      </c>
      <c r="C2" s="38"/>
    </row>
    <row r="5" spans="2:3" ht="21">
      <c r="B5" s="13" t="s">
        <v>10</v>
      </c>
      <c r="C5" s="14"/>
    </row>
    <row r="6" spans="2:3" ht="21">
      <c r="B6" s="15"/>
      <c r="C6" s="15"/>
    </row>
    <row r="7" spans="2:3" ht="21">
      <c r="B7" s="13" t="s">
        <v>11</v>
      </c>
      <c r="C7" s="16"/>
    </row>
    <row r="8" spans="2:3" ht="21">
      <c r="B8" s="13" t="s">
        <v>22</v>
      </c>
      <c r="C8" s="17"/>
    </row>
    <row r="9" spans="2:3" ht="21">
      <c r="B9" s="13" t="s">
        <v>23</v>
      </c>
      <c r="C9" s="18"/>
    </row>
    <row r="10" spans="2:3">
      <c r="C10" s="19"/>
    </row>
    <row r="11" spans="2:3">
      <c r="C11" s="19"/>
    </row>
    <row r="12" spans="2:3">
      <c r="C12" s="19"/>
    </row>
    <row r="13" spans="2:3">
      <c r="C13" s="19"/>
    </row>
    <row r="14" spans="2:3">
      <c r="C14" s="19"/>
    </row>
    <row r="15" spans="2:3">
      <c r="C15" s="19"/>
    </row>
  </sheetData>
  <mergeCells count="1">
    <mergeCell ref="B2:C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>
      <selection activeCell="A8" sqref="A8"/>
    </sheetView>
  </sheetViews>
  <sheetFormatPr defaultRowHeight="15"/>
  <cols>
    <col min="1" max="1" width="18.7109375" customWidth="1"/>
    <col min="2" max="2" width="16.28515625" bestFit="1" customWidth="1"/>
    <col min="3" max="3" width="23.140625" customWidth="1"/>
    <col min="4" max="4" width="25.85546875" customWidth="1"/>
    <col min="5" max="5" width="19" customWidth="1"/>
    <col min="6" max="6" width="14.5703125" bestFit="1" customWidth="1"/>
    <col min="7" max="7" width="13.85546875" customWidth="1"/>
    <col min="8" max="8" width="25.7109375" customWidth="1"/>
    <col min="10" max="10" width="19.42578125" bestFit="1" customWidth="1"/>
  </cols>
  <sheetData>
    <row r="1" spans="1:10" ht="21">
      <c r="A1" s="20" t="s">
        <v>24</v>
      </c>
      <c r="B1" s="21" t="s">
        <v>10</v>
      </c>
      <c r="C1" s="21" t="s">
        <v>11</v>
      </c>
      <c r="D1" s="22" t="s">
        <v>22</v>
      </c>
      <c r="E1" s="21" t="s">
        <v>23</v>
      </c>
      <c r="F1" s="23" t="s">
        <v>15</v>
      </c>
      <c r="G1" s="23" t="s">
        <v>25</v>
      </c>
      <c r="H1" s="24" t="s">
        <v>26</v>
      </c>
      <c r="I1" s="25"/>
      <c r="J1" s="26" t="s">
        <v>27</v>
      </c>
    </row>
    <row r="2" spans="1:10" ht="23.25">
      <c r="A2" s="27">
        <v>100</v>
      </c>
      <c r="B2" s="28">
        <v>42583</v>
      </c>
      <c r="C2" s="29" t="s">
        <v>16</v>
      </c>
      <c r="D2" s="29">
        <v>20</v>
      </c>
      <c r="E2" s="30">
        <v>50</v>
      </c>
      <c r="F2" s="30">
        <f>Table1[[#This Row],[Hours of Service Provided]]*Table1[[#This Row],[Fee per hour]]</f>
        <v>1000</v>
      </c>
      <c r="G2" s="30">
        <f>IF(Table1[[#This Row],[Hours of Service Provided]]&gt;10,Table1[[#This Row],[Total]]*0.05,0)</f>
        <v>50</v>
      </c>
      <c r="H2" s="31">
        <f>Table1[[#This Row],[Total]]-Table1[[#This Row],[Discount]]</f>
        <v>950</v>
      </c>
      <c r="I2" s="32"/>
      <c r="J2" s="35">
        <f>SUM(Total)</f>
        <v>8817</v>
      </c>
    </row>
    <row r="3" spans="1:10" ht="18.75">
      <c r="A3" s="27">
        <v>101</v>
      </c>
      <c r="B3" s="28">
        <v>42584</v>
      </c>
      <c r="C3" s="29" t="s">
        <v>29</v>
      </c>
      <c r="D3" s="29">
        <v>8</v>
      </c>
      <c r="E3" s="30">
        <v>51</v>
      </c>
      <c r="F3" s="30">
        <f>Table1[[#This Row],[Hours of Service Provided]]*Table1[[#This Row],[Fee per hour]]</f>
        <v>408</v>
      </c>
      <c r="G3" s="30">
        <f>IF(Table1[[#This Row],[Hours of Service Provided]]&gt;10,Table1[[#This Row],[Total]]*0.05,0)</f>
        <v>0</v>
      </c>
      <c r="H3" s="31">
        <f>Table1[[#This Row],[Total]]-Table1[[#This Row],[Discount]]</f>
        <v>408</v>
      </c>
    </row>
    <row r="4" spans="1:10" ht="21">
      <c r="A4" s="27">
        <f>A3+1</f>
        <v>102</v>
      </c>
      <c r="B4" s="28">
        <v>42586</v>
      </c>
      <c r="C4" s="16" t="s">
        <v>34</v>
      </c>
      <c r="D4" s="17">
        <v>22</v>
      </c>
      <c r="E4" s="18">
        <v>50</v>
      </c>
      <c r="F4" s="36">
        <f>Table1[[#This Row],[Hours of Service Provided]]*Table1[[#This Row],[Fee per hour]]</f>
        <v>1100</v>
      </c>
      <c r="G4" s="36">
        <f>IF(Table1[[#This Row],[Hours of Service Provided]]&gt;10,Table1[[#This Row],[Total]]*0.05,0)</f>
        <v>55</v>
      </c>
      <c r="H4" s="37">
        <f>Table1[[#This Row],[Total]]-Table1[[#This Row],[Discount]]</f>
        <v>1045</v>
      </c>
    </row>
    <row r="5" spans="1:10" ht="21">
      <c r="A5" s="27">
        <f>A4+1</f>
        <v>103</v>
      </c>
      <c r="B5" s="14">
        <v>42592</v>
      </c>
      <c r="C5" s="16" t="s">
        <v>28</v>
      </c>
      <c r="D5" s="17">
        <v>30</v>
      </c>
      <c r="E5" s="18">
        <v>55</v>
      </c>
      <c r="F5" s="36">
        <f>Table1[[#This Row],[Hours of Service Provided]]*Table1[[#This Row],[Fee per hour]]</f>
        <v>1650</v>
      </c>
      <c r="G5" s="36">
        <f>IF(Table1[[#This Row],[Hours of Service Provided]]&gt;10,Table1[[#This Row],[Total]]*0.05,0)</f>
        <v>82.5</v>
      </c>
      <c r="H5" s="37">
        <f>Table1[[#This Row],[Total]]-Table1[[#This Row],[Discount]]</f>
        <v>1567.5</v>
      </c>
    </row>
    <row r="6" spans="1:10" ht="21">
      <c r="A6" s="27">
        <f>A5+1</f>
        <v>104</v>
      </c>
      <c r="B6" s="28">
        <v>42603</v>
      </c>
      <c r="C6" s="16" t="s">
        <v>29</v>
      </c>
      <c r="D6" s="17">
        <v>60</v>
      </c>
      <c r="E6" s="18">
        <v>52</v>
      </c>
      <c r="F6" s="36">
        <f>Table1[[#This Row],[Hours of Service Provided]]*Table1[[#This Row],[Fee per hour]]</f>
        <v>3120</v>
      </c>
      <c r="G6" s="36">
        <f>IF(Table1[[#This Row],[Hours of Service Provided]]&gt;10,Table1[[#This Row],[Total]]*0.05,0)</f>
        <v>156</v>
      </c>
      <c r="H6" s="37">
        <f>Table1[[#This Row],[Total]]-Table1[[#This Row],[Discount]]</f>
        <v>2964</v>
      </c>
    </row>
    <row r="7" spans="1:10" ht="21">
      <c r="A7" s="27">
        <f>A6+1</f>
        <v>105</v>
      </c>
      <c r="B7" s="28">
        <v>42611</v>
      </c>
      <c r="C7" s="16" t="s">
        <v>30</v>
      </c>
      <c r="D7" s="17">
        <v>20</v>
      </c>
      <c r="E7" s="18">
        <v>54</v>
      </c>
      <c r="F7" s="36">
        <f>Table1[[#This Row],[Hours of Service Provided]]*Table1[[#This Row],[Fee per hour]]</f>
        <v>1080</v>
      </c>
      <c r="G7" s="36">
        <f>IF(Table1[[#This Row],[Hours of Service Provided]]&gt;10,Table1[[#This Row],[Total]]*0.05,0)</f>
        <v>54</v>
      </c>
      <c r="H7" s="37">
        <f>Table1[[#This Row],[Total]]-Table1[[#This Row],[Discount]]</f>
        <v>1026</v>
      </c>
    </row>
    <row r="8" spans="1:10" ht="21">
      <c r="A8" s="27">
        <f>A7+1</f>
        <v>106</v>
      </c>
      <c r="B8" s="28">
        <v>42614</v>
      </c>
      <c r="C8" s="16" t="s">
        <v>31</v>
      </c>
      <c r="D8" s="17">
        <v>9</v>
      </c>
      <c r="E8" s="18">
        <v>51</v>
      </c>
      <c r="F8" s="36">
        <f>Table1[[#This Row],[Hours of Service Provided]]*Table1[[#This Row],[Fee per hour]]</f>
        <v>459</v>
      </c>
      <c r="G8" s="36">
        <f>IF(Table1[[#This Row],[Hours of Service Provided]]&gt;10,Table1[[#This Row],[Total]]*0.05,0)</f>
        <v>0</v>
      </c>
      <c r="H8" s="37">
        <f>Table1[[#This Row],[Total]]-Table1[[#This Row],[Discount]]</f>
        <v>459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6"/>
  <sheetViews>
    <sheetView workbookViewId="0">
      <selection activeCell="B3" sqref="B3"/>
    </sheetView>
  </sheetViews>
  <sheetFormatPr defaultRowHeight="15"/>
  <cols>
    <col min="1" max="3" width="18.85546875" customWidth="1"/>
  </cols>
  <sheetData>
    <row r="1" spans="1:3" ht="18.75">
      <c r="A1" s="8" t="s">
        <v>12</v>
      </c>
    </row>
    <row r="2" spans="1:3">
      <c r="A2" s="7" t="s">
        <v>21</v>
      </c>
      <c r="B2" t="str">
        <f>IFERROR(INDEX(Table1[],MATCH('Invoice Template'!$B$3,Invoice_Number,0),3),"")</f>
        <v/>
      </c>
    </row>
    <row r="3" spans="1:3">
      <c r="A3" s="7" t="s">
        <v>17</v>
      </c>
    </row>
    <row r="4" spans="1:3">
      <c r="A4" s="7" t="s">
        <v>18</v>
      </c>
      <c r="B4" s="33">
        <f ca="1">TODAY()</f>
        <v>44595</v>
      </c>
    </row>
    <row r="6" spans="1:3" ht="15.75">
      <c r="A6" s="12" t="s">
        <v>13</v>
      </c>
      <c r="B6" s="12" t="s">
        <v>14</v>
      </c>
      <c r="C6" s="12" t="s">
        <v>15</v>
      </c>
    </row>
    <row r="7" spans="1:3">
      <c r="A7" t="str">
        <f>IFERROR(INDEX(Table1[],MATCH('Invoice Template'!$B$3,Invoice_Number,0),4),"")</f>
        <v/>
      </c>
      <c r="B7" s="34" t="str">
        <f>IFERROR(INDEX(Table1[],MATCH('Invoice Template'!$B$3,Invoice_Number,0),5),"")</f>
        <v/>
      </c>
      <c r="C7" s="34" t="str">
        <f>IFERROR(INDEX(Table1[],MATCH('Invoice Template'!$B$3,Invoice_Number,0),6),"")</f>
        <v/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39" t="s">
        <v>19</v>
      </c>
      <c r="B14" s="39"/>
      <c r="C14" s="11">
        <f>SUM(C7:C13)</f>
        <v>0</v>
      </c>
    </row>
    <row r="15" spans="1:3">
      <c r="A15" s="40" t="s">
        <v>33</v>
      </c>
      <c r="B15" s="40"/>
      <c r="C15" s="11" t="str">
        <f>IFERROR(INDEX(Table1[],MATCH('Invoice Template'!$B$3,Invoice_Number,0),7),"")</f>
        <v/>
      </c>
    </row>
    <row r="16" spans="1:3">
      <c r="A16" s="39" t="s">
        <v>20</v>
      </c>
      <c r="B16" s="39"/>
      <c r="C16" s="11">
        <f>IFERROR(C14-C15,0)</f>
        <v>0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Instruction</vt:lpstr>
      <vt:lpstr>Data Entry</vt:lpstr>
      <vt:lpstr>Table</vt:lpstr>
      <vt:lpstr>Invoice Template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Ridwan Ahmed</cp:lastModifiedBy>
  <dcterms:created xsi:type="dcterms:W3CDTF">2016-08-30T01:18:10Z</dcterms:created>
  <dcterms:modified xsi:type="dcterms:W3CDTF">2022-02-03T10:58:39Z</dcterms:modified>
</cp:coreProperties>
</file>